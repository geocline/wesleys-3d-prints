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Catalog" sheetId="1" state="visible" r:id="rId1"/>
  </sheets>
  <definedNames>
    <definedName name="_xlnm.Print_Area" localSheetId="0">'Product Catalog'!$A$1:$M$24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&quot;x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4A3F8A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5576C"/>
      <sz val="10"/>
    </font>
    <font>
      <name val="Calibri"/>
      <color rgb="000563C1"/>
      <sz val="10"/>
      <u val="single"/>
    </font>
    <font>
      <name val="Calibri"/>
      <b val="1"/>
      <color rgb="004A3F8A"/>
      <sz val="11"/>
    </font>
  </fonts>
  <fills count="6">
    <fill>
      <patternFill/>
    </fill>
    <fill>
      <patternFill patternType="gray125"/>
    </fill>
    <fill>
      <patternFill patternType="solid">
        <fgColor rgb="004A3F8A"/>
      </patternFill>
    </fill>
    <fill>
      <patternFill patternType="solid">
        <fgColor rgb="00F5F0FF"/>
      </patternFill>
    </fill>
    <fill>
      <patternFill patternType="solid">
        <fgColor rgb="00FFFFFF"/>
      </patternFill>
    </fill>
    <fill>
      <patternFill patternType="solid">
        <fgColor rgb="00E8E0F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164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164" fontId="6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ntables.com/model/157347" TargetMode="External" Id="rId1" /><Relationship Type="http://schemas.openxmlformats.org/officeDocument/2006/relationships/hyperlink" Target="https://www.printables.com/model/157347/files" TargetMode="External" Id="rId2" /><Relationship Type="http://schemas.openxmlformats.org/officeDocument/2006/relationships/hyperlink" Target="https://www.printables.com/model/652108" TargetMode="External" Id="rId3" /><Relationship Type="http://schemas.openxmlformats.org/officeDocument/2006/relationships/hyperlink" Target="https://www.printables.com/model/652108/files" TargetMode="External" Id="rId4" /><Relationship Type="http://schemas.openxmlformats.org/officeDocument/2006/relationships/hyperlink" Target="https://www.printables.com/model/757123" TargetMode="External" Id="rId5" /><Relationship Type="http://schemas.openxmlformats.org/officeDocument/2006/relationships/hyperlink" Target="https://www.printables.com/model/757123/files" TargetMode="External" Id="rId6" /><Relationship Type="http://schemas.openxmlformats.org/officeDocument/2006/relationships/hyperlink" Target="https://www.printables.com/model/187125" TargetMode="External" Id="rId7" /><Relationship Type="http://schemas.openxmlformats.org/officeDocument/2006/relationships/hyperlink" Target="https://www.printables.com/model/187125/files" TargetMode="External" Id="rId8" /><Relationship Type="http://schemas.openxmlformats.org/officeDocument/2006/relationships/hyperlink" Target="https://www.printables.com/model/202588" TargetMode="External" Id="rId9" /><Relationship Type="http://schemas.openxmlformats.org/officeDocument/2006/relationships/hyperlink" Target="https://www.printables.com/model/202588/files" TargetMode="External" Id="rId10" /><Relationship Type="http://schemas.openxmlformats.org/officeDocument/2006/relationships/hyperlink" Target="https://www.printables.com/model/344878" TargetMode="External" Id="rId11" /><Relationship Type="http://schemas.openxmlformats.org/officeDocument/2006/relationships/hyperlink" Target="https://www.printables.com/model/344878/files" TargetMode="External" Id="rId12" /><Relationship Type="http://schemas.openxmlformats.org/officeDocument/2006/relationships/hyperlink" Target="https://www.printables.com/model/83628" TargetMode="External" Id="rId13" /><Relationship Type="http://schemas.openxmlformats.org/officeDocument/2006/relationships/hyperlink" Target="https://www.printables.com/model/83628/files" TargetMode="External" Id="rId14" /><Relationship Type="http://schemas.openxmlformats.org/officeDocument/2006/relationships/hyperlink" Target="https://www.printables.com/model/972232" TargetMode="External" Id="rId15" /><Relationship Type="http://schemas.openxmlformats.org/officeDocument/2006/relationships/hyperlink" Target="https://www.printables.com/model/972232/files" TargetMode="External" Id="rId16" /><Relationship Type="http://schemas.openxmlformats.org/officeDocument/2006/relationships/hyperlink" Target="https://www.printables.com/model/229666" TargetMode="External" Id="rId17" /><Relationship Type="http://schemas.openxmlformats.org/officeDocument/2006/relationships/hyperlink" Target="https://www.printables.com/model/229666/files" TargetMode="External" Id="rId18" /><Relationship Type="http://schemas.openxmlformats.org/officeDocument/2006/relationships/hyperlink" Target="https://www.printables.com/model/1162168" TargetMode="External" Id="rId19" /><Relationship Type="http://schemas.openxmlformats.org/officeDocument/2006/relationships/hyperlink" Target="https://www.printables.com/model/1162168/files" TargetMode="External" Id="rId20" /><Relationship Type="http://schemas.openxmlformats.org/officeDocument/2006/relationships/hyperlink" Target="https://www.printables.com/model/178035" TargetMode="External" Id="rId21" /><Relationship Type="http://schemas.openxmlformats.org/officeDocument/2006/relationships/hyperlink" Target="https://www.printables.com/model/178035/files" TargetMode="External" Id="rId22" /><Relationship Type="http://schemas.openxmlformats.org/officeDocument/2006/relationships/hyperlink" Target="https://www.printables.com/model/413220" TargetMode="External" Id="rId23" /><Relationship Type="http://schemas.openxmlformats.org/officeDocument/2006/relationships/hyperlink" Target="https://www.printables.com/model/413220/files" TargetMode="External" Id="rId24" /><Relationship Type="http://schemas.openxmlformats.org/officeDocument/2006/relationships/hyperlink" Target="https://www.printables.com/model/51083" TargetMode="External" Id="rId25" /><Relationship Type="http://schemas.openxmlformats.org/officeDocument/2006/relationships/hyperlink" Target="https://www.printables.com/model/51083/files" TargetMode="External" Id="rId26" /><Relationship Type="http://schemas.openxmlformats.org/officeDocument/2006/relationships/hyperlink" Target="https://www.printables.com/model/294220" TargetMode="External" Id="rId27" /><Relationship Type="http://schemas.openxmlformats.org/officeDocument/2006/relationships/hyperlink" Target="https://www.printables.com/model/294220/files" TargetMode="External" Id="rId28" /><Relationship Type="http://schemas.openxmlformats.org/officeDocument/2006/relationships/hyperlink" Target="https://www.printables.com/model/977936" TargetMode="External" Id="rId29" /><Relationship Type="http://schemas.openxmlformats.org/officeDocument/2006/relationships/hyperlink" Target="https://www.printables.com/model/977936/files" TargetMode="External" Id="rId30" /><Relationship Type="http://schemas.openxmlformats.org/officeDocument/2006/relationships/hyperlink" Target="https://www.printables.com/model/436994" TargetMode="External" Id="rId31" /><Relationship Type="http://schemas.openxmlformats.org/officeDocument/2006/relationships/hyperlink" Target="https://www.printables.com/model/436994/files" TargetMode="External" Id="rId32" /><Relationship Type="http://schemas.openxmlformats.org/officeDocument/2006/relationships/hyperlink" Target="https://www.printables.com/model/920359" TargetMode="External" Id="rId33" /><Relationship Type="http://schemas.openxmlformats.org/officeDocument/2006/relationships/hyperlink" Target="https://www.printables.com/model/920359/files" TargetMode="External" Id="rId34" /><Relationship Type="http://schemas.openxmlformats.org/officeDocument/2006/relationships/hyperlink" Target="https://www.printables.com/model/484193" TargetMode="External" Id="rId35" /><Relationship Type="http://schemas.openxmlformats.org/officeDocument/2006/relationships/hyperlink" Target="https://www.printables.com/model/484193/files" TargetMode="External" Id="rId36" /><Relationship Type="http://schemas.openxmlformats.org/officeDocument/2006/relationships/hyperlink" Target="https://www.printables.com/model/282970" TargetMode="External" Id="rId37" /><Relationship Type="http://schemas.openxmlformats.org/officeDocument/2006/relationships/hyperlink" Target="https://www.printables.com/model/282970/files" TargetMode="External" Id="rId38" /><Relationship Type="http://schemas.openxmlformats.org/officeDocument/2006/relationships/hyperlink" Target="https://www.printables.com/model/986151" TargetMode="External" Id="rId39" /><Relationship Type="http://schemas.openxmlformats.org/officeDocument/2006/relationships/hyperlink" Target="https://www.printables.com/model/986151/files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</sheetPr>
  <dimension ref="A1:M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6" customWidth="1" min="3" max="3"/>
    <col width="22" customWidth="1" min="4" max="4"/>
    <col width="10" customWidth="1" min="5" max="5"/>
    <col width="18" customWidth="1" min="6" max="6"/>
    <col width="45" customWidth="1" min="7" max="7"/>
    <col width="16" customWidth="1" min="8" max="8"/>
    <col width="16" customWidth="1" min="9" max="9"/>
    <col width="12" customWidth="1" min="10" max="10"/>
    <col width="18" customWidth="1" min="11" max="11"/>
    <col width="42" customWidth="1" min="12" max="12"/>
    <col width="48" customWidth="1" min="13" max="13"/>
  </cols>
  <sheetData>
    <row r="1" ht="40" customHeight="1">
      <c r="A1" s="1" t="inlineStr">
        <is>
          <t>🖨️ Wesley's 3D Prints — Product Catalog</t>
        </is>
      </c>
    </row>
    <row r="2" ht="22" customHeight="1">
      <c r="A2" s="2" t="inlineStr">
        <is>
          <t>Filament cost: $0.02/gram  |  All prices include 3x+ markup over material cost</t>
        </is>
      </c>
    </row>
    <row r="3" ht="32" customHeight="1">
      <c r="A3" s="3" t="inlineStr">
        <is>
          <t>#</t>
        </is>
      </c>
      <c r="B3" s="3" t="inlineStr">
        <is>
          <t>Product Name</t>
        </is>
      </c>
      <c r="C3" s="3" t="inlineStr">
        <is>
          <t>Emoji</t>
        </is>
      </c>
      <c r="D3" s="3" t="inlineStr">
        <is>
          <t>Image File</t>
        </is>
      </c>
      <c r="E3" s="3" t="inlineStr">
        <is>
          <t>Price</t>
        </is>
      </c>
      <c r="F3" s="3" t="inlineStr">
        <is>
          <t>Min Order</t>
        </is>
      </c>
      <c r="G3" s="3" t="inlineStr">
        <is>
          <t>Description</t>
        </is>
      </c>
      <c r="H3" s="3" t="inlineStr">
        <is>
          <t>Est. Filament (g)</t>
        </is>
      </c>
      <c r="I3" s="3" t="inlineStr">
        <is>
          <t>Filament Cost ($)</t>
        </is>
      </c>
      <c r="J3" s="3" t="inlineStr">
        <is>
          <t>Markup (x)</t>
        </is>
      </c>
      <c r="K3" s="3" t="inlineStr">
        <is>
          <t>Printables Model ID</t>
        </is>
      </c>
      <c r="L3" s="3" t="inlineStr">
        <is>
          <t>Printables Model Page</t>
        </is>
      </c>
      <c r="M3" s="3" t="inlineStr">
        <is>
          <t>STL Download Page</t>
        </is>
      </c>
    </row>
    <row r="4">
      <c r="A4" s="4" t="n">
        <v>1</v>
      </c>
      <c r="B4" s="4" t="inlineStr">
        <is>
          <t>Fidget Spinner</t>
        </is>
      </c>
      <c r="C4" s="5" t="inlineStr">
        <is>
          <t>🪀</t>
        </is>
      </c>
      <c r="D4" s="5" t="inlineStr">
        <is>
          <t>fidget-spinner.jpg</t>
        </is>
      </c>
      <c r="E4" s="6" t="n">
        <v>2.5</v>
      </c>
      <c r="F4" s="5" t="inlineStr">
        <is>
          <t>Min 2 ($5.00)</t>
        </is>
      </c>
      <c r="G4" s="7" t="inlineStr">
        <is>
          <t>Classic spinning fidget toy - keeps your hands busy!</t>
        </is>
      </c>
      <c r="H4" s="5" t="n">
        <v>15</v>
      </c>
      <c r="I4" s="8">
        <f>H4*0.02</f>
        <v/>
      </c>
      <c r="J4" s="9">
        <f>IF(I4&gt;0,E4/I4,"-")</f>
        <v/>
      </c>
      <c r="K4" s="5" t="n">
        <v>157347</v>
      </c>
      <c r="L4" s="10" t="inlineStr">
        <is>
          <t>https://www.printables.com/model/157347</t>
        </is>
      </c>
      <c r="M4" s="10" t="inlineStr">
        <is>
          <t>https://www.printables.com/model/157347/files</t>
        </is>
      </c>
    </row>
    <row r="5">
      <c r="A5" s="11" t="n">
        <v>2</v>
      </c>
      <c r="B5" s="11" t="inlineStr">
        <is>
          <t>Infinity Cube</t>
        </is>
      </c>
      <c r="C5" s="12" t="inlineStr">
        <is>
          <t>🔲</t>
        </is>
      </c>
      <c r="D5" s="12" t="inlineStr">
        <is>
          <t>infinity-cube.jpg</t>
        </is>
      </c>
      <c r="E5" s="13" t="n">
        <v>6</v>
      </c>
      <c r="F5" s="12" t="inlineStr">
        <is>
          <t>—</t>
        </is>
      </c>
      <c r="G5" s="14" t="inlineStr">
        <is>
          <t>A cube that folds and flips forever. So satisfying!</t>
        </is>
      </c>
      <c r="H5" s="12" t="n">
        <v>40</v>
      </c>
      <c r="I5" s="15">
        <f>H5*0.02</f>
        <v/>
      </c>
      <c r="J5" s="16">
        <f>IF(I5&gt;0,E5/I5,"-")</f>
        <v/>
      </c>
      <c r="K5" s="12" t="n">
        <v>652108</v>
      </c>
      <c r="L5" s="17" t="inlineStr">
        <is>
          <t>https://www.printables.com/model/652108</t>
        </is>
      </c>
      <c r="M5" s="17" t="inlineStr">
        <is>
          <t>https://www.printables.com/model/652108/files</t>
        </is>
      </c>
    </row>
    <row r="6">
      <c r="A6" s="4" t="n">
        <v>3</v>
      </c>
      <c r="B6" s="4" t="inlineStr">
        <is>
          <t>Articulated Dragon</t>
        </is>
      </c>
      <c r="C6" s="5" t="inlineStr">
        <is>
          <t>🐉</t>
        </is>
      </c>
      <c r="D6" s="5" t="inlineStr">
        <is>
          <t>dragon.jpg</t>
        </is>
      </c>
      <c r="E6" s="6" t="n">
        <v>8</v>
      </c>
      <c r="F6" s="5" t="inlineStr">
        <is>
          <t>—</t>
        </is>
      </c>
      <c r="G6" s="7" t="inlineStr">
        <is>
          <t>A poseable dragon with moving joints. Super cool!</t>
        </is>
      </c>
      <c r="H6" s="5" t="n">
        <v>60</v>
      </c>
      <c r="I6" s="8">
        <f>H6*0.02</f>
        <v/>
      </c>
      <c r="J6" s="9">
        <f>IF(I6&gt;0,E6/I6,"-")</f>
        <v/>
      </c>
      <c r="K6" s="5" t="n">
        <v>757123</v>
      </c>
      <c r="L6" s="10" t="inlineStr">
        <is>
          <t>https://www.printables.com/model/757123</t>
        </is>
      </c>
      <c r="M6" s="10" t="inlineStr">
        <is>
          <t>https://www.printables.com/model/757123/files</t>
        </is>
      </c>
    </row>
    <row r="7">
      <c r="A7" s="11" t="n">
        <v>4</v>
      </c>
      <c r="B7" s="11" t="inlineStr">
        <is>
          <t>Phone Stand</t>
        </is>
      </c>
      <c r="C7" s="12" t="inlineStr">
        <is>
          <t>📱</t>
        </is>
      </c>
      <c r="D7" s="12" t="inlineStr">
        <is>
          <t>phone-stand.jpg</t>
        </is>
      </c>
      <c r="E7" s="13" t="n">
        <v>5</v>
      </c>
      <c r="F7" s="12" t="inlineStr">
        <is>
          <t>—</t>
        </is>
      </c>
      <c r="G7" s="14" t="inlineStr">
        <is>
          <t>Hold your phone hands-free for videos and games.</t>
        </is>
      </c>
      <c r="H7" s="12" t="n">
        <v>35</v>
      </c>
      <c r="I7" s="15">
        <f>H7*0.02</f>
        <v/>
      </c>
      <c r="J7" s="16">
        <f>IF(I7&gt;0,E7/I7,"-")</f>
        <v/>
      </c>
      <c r="K7" s="12" t="n">
        <v>187125</v>
      </c>
      <c r="L7" s="17" t="inlineStr">
        <is>
          <t>https://www.printables.com/model/187125</t>
        </is>
      </c>
      <c r="M7" s="17" t="inlineStr">
        <is>
          <t>https://www.printables.com/model/187125/files</t>
        </is>
      </c>
    </row>
    <row r="8">
      <c r="A8" s="4" t="n">
        <v>5</v>
      </c>
      <c r="B8" s="4" t="inlineStr">
        <is>
          <t>Pencil Holder</t>
        </is>
      </c>
      <c r="C8" s="5" t="inlineStr">
        <is>
          <t>✏️</t>
        </is>
      </c>
      <c r="D8" s="5" t="inlineStr">
        <is>
          <t>pencil-holder.jpg</t>
        </is>
      </c>
      <c r="E8" s="6" t="n">
        <v>5</v>
      </c>
      <c r="F8" s="5" t="inlineStr">
        <is>
          <t>—</t>
        </is>
      </c>
      <c r="G8" s="7" t="inlineStr">
        <is>
          <t>Keep your desk organized with this cool holder.</t>
        </is>
      </c>
      <c r="H8" s="5" t="n">
        <v>45</v>
      </c>
      <c r="I8" s="8">
        <f>H8*0.02</f>
        <v/>
      </c>
      <c r="J8" s="9">
        <f>IF(I8&gt;0,E8/I8,"-")</f>
        <v/>
      </c>
      <c r="K8" s="5" t="n">
        <v>202588</v>
      </c>
      <c r="L8" s="10" t="inlineStr">
        <is>
          <t>https://www.printables.com/model/202588</t>
        </is>
      </c>
      <c r="M8" s="10" t="inlineStr">
        <is>
          <t>https://www.printables.com/model/202588/files</t>
        </is>
      </c>
    </row>
    <row r="9">
      <c r="A9" s="11" t="n">
        <v>6</v>
      </c>
      <c r="B9" s="11" t="inlineStr">
        <is>
          <t>Bookmarks (Set of 3)</t>
        </is>
      </c>
      <c r="C9" s="12" t="inlineStr">
        <is>
          <t>📖</t>
        </is>
      </c>
      <c r="D9" s="12" t="inlineStr">
        <is>
          <t>bookmark.jpg</t>
        </is>
      </c>
      <c r="E9" s="13" t="n">
        <v>5</v>
      </c>
      <c r="F9" s="12" t="inlineStr">
        <is>
          <t>Sold as set of 3</t>
        </is>
      </c>
      <c r="G9" s="14" t="inlineStr">
        <is>
          <t>Never lose your page again with fun shaped bookmarks!</t>
        </is>
      </c>
      <c r="H9" s="12" t="n">
        <v>10</v>
      </c>
      <c r="I9" s="15">
        <f>H9*0.02</f>
        <v/>
      </c>
      <c r="J9" s="16">
        <f>IF(I9&gt;0,E9/I9,"-")</f>
        <v/>
      </c>
      <c r="K9" s="12" t="n">
        <v>344878</v>
      </c>
      <c r="L9" s="17" t="inlineStr">
        <is>
          <t>https://www.printables.com/model/344878</t>
        </is>
      </c>
      <c r="M9" s="17" t="inlineStr">
        <is>
          <t>https://www.printables.com/model/344878/files</t>
        </is>
      </c>
    </row>
    <row r="10">
      <c r="A10" s="4" t="n">
        <v>7</v>
      </c>
      <c r="B10" s="4" t="inlineStr">
        <is>
          <t>Bag Clips (5-Pack)</t>
        </is>
      </c>
      <c r="C10" s="5" t="inlineStr">
        <is>
          <t>📎</t>
        </is>
      </c>
      <c r="D10" s="5" t="inlineStr">
        <is>
          <t>bag-clips.jpg</t>
        </is>
      </c>
      <c r="E10" s="6" t="n">
        <v>5</v>
      </c>
      <c r="F10" s="5" t="inlineStr">
        <is>
          <t>Sold as 5-pack</t>
        </is>
      </c>
      <c r="G10" s="7" t="inlineStr">
        <is>
          <t>Keep your snacks fresh with these handy clips.</t>
        </is>
      </c>
      <c r="H10" s="5" t="n">
        <v>20</v>
      </c>
      <c r="I10" s="8">
        <f>H10*0.02</f>
        <v/>
      </c>
      <c r="J10" s="9">
        <f>IF(I10&gt;0,E10/I10,"-")</f>
        <v/>
      </c>
      <c r="K10" s="5" t="n">
        <v>83628</v>
      </c>
      <c r="L10" s="10" t="inlineStr">
        <is>
          <t>https://www.printables.com/model/83628</t>
        </is>
      </c>
      <c r="M10" s="10" t="inlineStr">
        <is>
          <t>https://www.printables.com/model/83628/files</t>
        </is>
      </c>
    </row>
    <row r="11">
      <c r="A11" s="11" t="n">
        <v>8</v>
      </c>
      <c r="B11" s="11" t="inlineStr">
        <is>
          <t>Miniature Animal</t>
        </is>
      </c>
      <c r="C11" s="12" t="inlineStr">
        <is>
          <t>🐾</t>
        </is>
      </c>
      <c r="D11" s="12" t="inlineStr">
        <is>
          <t>mini-animal.jpg</t>
        </is>
      </c>
      <c r="E11" s="13" t="n">
        <v>2.5</v>
      </c>
      <c r="F11" s="12" t="inlineStr">
        <is>
          <t>Min 2 ($5.00)</t>
        </is>
      </c>
      <c r="G11" s="14" t="inlineStr">
        <is>
          <t>Tiny collectible animals - cats, dinos, and more!</t>
        </is>
      </c>
      <c r="H11" s="12" t="n">
        <v>10</v>
      </c>
      <c r="I11" s="15">
        <f>H11*0.02</f>
        <v/>
      </c>
      <c r="J11" s="16">
        <f>IF(I11&gt;0,E11/I11,"-")</f>
        <v/>
      </c>
      <c r="K11" s="12" t="n">
        <v>972232</v>
      </c>
      <c r="L11" s="17" t="inlineStr">
        <is>
          <t>https://www.printables.com/model/972232</t>
        </is>
      </c>
      <c r="M11" s="17" t="inlineStr">
        <is>
          <t>https://www.printables.com/model/972232/files</t>
        </is>
      </c>
    </row>
    <row r="12">
      <c r="A12" s="4" t="n">
        <v>9</v>
      </c>
      <c r="B12" s="4" t="inlineStr">
        <is>
          <t>Fidget Slug</t>
        </is>
      </c>
      <c r="C12" s="5" t="inlineStr">
        <is>
          <t>🐌</t>
        </is>
      </c>
      <c r="D12" s="5" t="inlineStr">
        <is>
          <t>fidget-slug.jpg</t>
        </is>
      </c>
      <c r="E12" s="6" t="n">
        <v>5</v>
      </c>
      <c r="F12" s="5" t="inlineStr">
        <is>
          <t>—</t>
        </is>
      </c>
      <c r="G12" s="7" t="inlineStr">
        <is>
          <t>A wiggly slug that clicks and bends. So fun to play with!</t>
        </is>
      </c>
      <c r="H12" s="5" t="n">
        <v>30</v>
      </c>
      <c r="I12" s="8">
        <f>H12*0.02</f>
        <v/>
      </c>
      <c r="J12" s="9">
        <f>IF(I12&gt;0,E12/I12,"-")</f>
        <v/>
      </c>
      <c r="K12" s="5" t="n">
        <v>229666</v>
      </c>
      <c r="L12" s="10" t="inlineStr">
        <is>
          <t>https://www.printables.com/model/229666</t>
        </is>
      </c>
      <c r="M12" s="10" t="inlineStr">
        <is>
          <t>https://www.printables.com/model/229666/files</t>
        </is>
      </c>
    </row>
    <row r="13">
      <c r="A13" s="11" t="n">
        <v>10</v>
      </c>
      <c r="B13" s="11" t="inlineStr">
        <is>
          <t>Keychain</t>
        </is>
      </c>
      <c r="C13" s="12" t="inlineStr">
        <is>
          <t>🔑</t>
        </is>
      </c>
      <c r="D13" s="12" t="inlineStr">
        <is>
          <t>keychain.jpg</t>
        </is>
      </c>
      <c r="E13" s="13" t="n">
        <v>2.5</v>
      </c>
      <c r="F13" s="12" t="inlineStr">
        <is>
          <t>Min 2 ($5.00)</t>
        </is>
      </c>
      <c r="G13" s="14" t="inlineStr">
        <is>
          <t>Cool keychains in fun shapes to clip on your backpack.</t>
        </is>
      </c>
      <c r="H13" s="12" t="n">
        <v>8</v>
      </c>
      <c r="I13" s="15">
        <f>H13*0.02</f>
        <v/>
      </c>
      <c r="J13" s="16">
        <f>IF(I13&gt;0,E13/I13,"-")</f>
        <v/>
      </c>
      <c r="K13" s="12" t="n">
        <v>1162168</v>
      </c>
      <c r="L13" s="17" t="inlineStr">
        <is>
          <t>https://www.printables.com/model/1162168</t>
        </is>
      </c>
      <c r="M13" s="17" t="inlineStr">
        <is>
          <t>https://www.printables.com/model/1162168/files</t>
        </is>
      </c>
    </row>
    <row r="14">
      <c r="A14" s="4" t="n">
        <v>11</v>
      </c>
      <c r="B14" s="4" t="inlineStr">
        <is>
          <t>Flexi Octopus</t>
        </is>
      </c>
      <c r="C14" s="5" t="inlineStr">
        <is>
          <t>🐙</t>
        </is>
      </c>
      <c r="D14" s="5" t="inlineStr">
        <is>
          <t>flexi-octopus.jpg</t>
        </is>
      </c>
      <c r="E14" s="6" t="n">
        <v>5</v>
      </c>
      <c r="F14" s="5" t="inlineStr">
        <is>
          <t>—</t>
        </is>
      </c>
      <c r="G14" s="7" t="inlineStr">
        <is>
          <t>A bendy octopus with wiggly tentacles!</t>
        </is>
      </c>
      <c r="H14" s="5" t="n">
        <v>25</v>
      </c>
      <c r="I14" s="8">
        <f>H14*0.02</f>
        <v/>
      </c>
      <c r="J14" s="9">
        <f>IF(I14&gt;0,E14/I14,"-")</f>
        <v/>
      </c>
      <c r="K14" s="5" t="n">
        <v>178035</v>
      </c>
      <c r="L14" s="10" t="inlineStr">
        <is>
          <t>https://www.printables.com/model/178035</t>
        </is>
      </c>
      <c r="M14" s="10" t="inlineStr">
        <is>
          <t>https://www.printables.com/model/178035/files</t>
        </is>
      </c>
    </row>
    <row r="15">
      <c r="A15" s="11" t="n">
        <v>12</v>
      </c>
      <c r="B15" s="11" t="inlineStr">
        <is>
          <t>Tic-Tac-Toe Game</t>
        </is>
      </c>
      <c r="C15" s="12" t="inlineStr">
        <is>
          <t>❎</t>
        </is>
      </c>
      <c r="D15" s="12" t="inlineStr">
        <is>
          <t>tic-tac-toe.jpg</t>
        </is>
      </c>
      <c r="E15" s="13" t="n">
        <v>5</v>
      </c>
      <c r="F15" s="12" t="inlineStr">
        <is>
          <t>—</t>
        </is>
      </c>
      <c r="G15" s="14" t="inlineStr">
        <is>
          <t>A complete game that prints in one piece. Play anywhere!</t>
        </is>
      </c>
      <c r="H15" s="12" t="n">
        <v>30</v>
      </c>
      <c r="I15" s="15">
        <f>H15*0.02</f>
        <v/>
      </c>
      <c r="J15" s="16">
        <f>IF(I15&gt;0,E15/I15,"-")</f>
        <v/>
      </c>
      <c r="K15" s="12" t="n">
        <v>413220</v>
      </c>
      <c r="L15" s="17" t="inlineStr">
        <is>
          <t>https://www.printables.com/model/413220</t>
        </is>
      </c>
      <c r="M15" s="17" t="inlineStr">
        <is>
          <t>https://www.printables.com/model/413220/files</t>
        </is>
      </c>
    </row>
    <row r="16">
      <c r="A16" s="4" t="n">
        <v>13</v>
      </c>
      <c r="B16" s="4" t="inlineStr">
        <is>
          <t>Mini Monster Truck</t>
        </is>
      </c>
      <c r="C16" s="5" t="inlineStr">
        <is>
          <t>🚗</t>
        </is>
      </c>
      <c r="D16" s="5" t="inlineStr">
        <is>
          <t>monster-truck.jpg</t>
        </is>
      </c>
      <c r="E16" s="6" t="n">
        <v>6</v>
      </c>
      <c r="F16" s="5" t="inlineStr">
        <is>
          <t>—</t>
        </is>
      </c>
      <c r="G16" s="7" t="inlineStr">
        <is>
          <t>A mini truck with working wheels and suspension!</t>
        </is>
      </c>
      <c r="H16" s="5" t="n">
        <v>40</v>
      </c>
      <c r="I16" s="8">
        <f>H16*0.02</f>
        <v/>
      </c>
      <c r="J16" s="9">
        <f>IF(I16&gt;0,E16/I16,"-")</f>
        <v/>
      </c>
      <c r="K16" s="5" t="n">
        <v>51083</v>
      </c>
      <c r="L16" s="10" t="inlineStr">
        <is>
          <t>https://www.printables.com/model/51083</t>
        </is>
      </c>
      <c r="M16" s="10" t="inlineStr">
        <is>
          <t>https://www.printables.com/model/51083/files</t>
        </is>
      </c>
    </row>
    <row r="17">
      <c r="A17" s="11" t="n">
        <v>14</v>
      </c>
      <c r="B17" s="11" t="inlineStr">
        <is>
          <t>Walking Crab</t>
        </is>
      </c>
      <c r="C17" s="12" t="inlineStr">
        <is>
          <t>🦀</t>
        </is>
      </c>
      <c r="D17" s="12" t="inlineStr">
        <is>
          <t>walking-crab.jpg</t>
        </is>
      </c>
      <c r="E17" s="13" t="n">
        <v>6</v>
      </c>
      <c r="F17" s="12" t="inlineStr">
        <is>
          <t>—</t>
        </is>
      </c>
      <c r="G17" s="14" t="inlineStr">
        <is>
          <t>Turn the crank and watch it waddle! Mechanical magic.</t>
        </is>
      </c>
      <c r="H17" s="12" t="n">
        <v>35</v>
      </c>
      <c r="I17" s="15">
        <f>H17*0.02</f>
        <v/>
      </c>
      <c r="J17" s="16">
        <f>IF(I17&gt;0,E17/I17,"-")</f>
        <v/>
      </c>
      <c r="K17" s="12" t="n">
        <v>294220</v>
      </c>
      <c r="L17" s="17" t="inlineStr">
        <is>
          <t>https://www.printables.com/model/294220</t>
        </is>
      </c>
      <c r="M17" s="17" t="inlineStr">
        <is>
          <t>https://www.printables.com/model/294220/files</t>
        </is>
      </c>
    </row>
    <row r="18">
      <c r="A18" s="4" t="n">
        <v>15</v>
      </c>
      <c r="B18" s="4" t="inlineStr">
        <is>
          <t>Catapult Launcher</t>
        </is>
      </c>
      <c r="C18" s="5" t="inlineStr">
        <is>
          <t>🏰</t>
        </is>
      </c>
      <c r="D18" s="5" t="inlineStr">
        <is>
          <t>catapult.jpg</t>
        </is>
      </c>
      <c r="E18" s="6" t="n">
        <v>5</v>
      </c>
      <c r="F18" s="5" t="inlineStr">
        <is>
          <t>—</t>
        </is>
      </c>
      <c r="G18" s="7" t="inlineStr">
        <is>
          <t>A mini catapult that actually launches stuff!</t>
        </is>
      </c>
      <c r="H18" s="5" t="n">
        <v>25</v>
      </c>
      <c r="I18" s="8">
        <f>H18*0.02</f>
        <v/>
      </c>
      <c r="J18" s="9">
        <f>IF(I18&gt;0,E18/I18,"-")</f>
        <v/>
      </c>
      <c r="K18" s="5" t="n">
        <v>977936</v>
      </c>
      <c r="L18" s="10" t="inlineStr">
        <is>
          <t>https://www.printables.com/model/977936</t>
        </is>
      </c>
      <c r="M18" s="10" t="inlineStr">
        <is>
          <t>https://www.printables.com/model/977936/files</t>
        </is>
      </c>
    </row>
    <row r="19">
      <c r="A19" s="11" t="n">
        <v>16</v>
      </c>
      <c r="B19" s="11" t="inlineStr">
        <is>
          <t>Cookie Cutters (3-Pack)</t>
        </is>
      </c>
      <c r="C19" s="12" t="inlineStr">
        <is>
          <t>🍪</t>
        </is>
      </c>
      <c r="D19" s="12" t="inlineStr">
        <is>
          <t>cookie-cutters.jpg</t>
        </is>
      </c>
      <c r="E19" s="13" t="n">
        <v>5</v>
      </c>
      <c r="F19" s="12" t="inlineStr">
        <is>
          <t>Sold as 3-pack</t>
        </is>
      </c>
      <c r="G19" s="14" t="inlineStr">
        <is>
          <t>Fun shaped cookie cutters - dinos, stars, and more!</t>
        </is>
      </c>
      <c r="H19" s="12" t="n">
        <v>15</v>
      </c>
      <c r="I19" s="15">
        <f>H19*0.02</f>
        <v/>
      </c>
      <c r="J19" s="16">
        <f>IF(I19&gt;0,E19/I19,"-")</f>
        <v/>
      </c>
      <c r="K19" s="12" t="n">
        <v>436994</v>
      </c>
      <c r="L19" s="17" t="inlineStr">
        <is>
          <t>https://www.printables.com/model/436994</t>
        </is>
      </c>
      <c r="M19" s="17" t="inlineStr">
        <is>
          <t>https://www.printables.com/model/436994/files</t>
        </is>
      </c>
    </row>
    <row r="20">
      <c r="A20" s="4" t="n">
        <v>17</v>
      </c>
      <c r="B20" s="4" t="inlineStr">
        <is>
          <t>Fidget Ball</t>
        </is>
      </c>
      <c r="C20" s="5" t="inlineStr">
        <is>
          <t>⚽</t>
        </is>
      </c>
      <c r="D20" s="5" t="inlineStr">
        <is>
          <t>fidget-ball.jpg</t>
        </is>
      </c>
      <c r="E20" s="6" t="n">
        <v>5</v>
      </c>
      <c r="F20" s="5" t="inlineStr">
        <is>
          <t>—</t>
        </is>
      </c>
      <c r="G20" s="7" t="inlineStr">
        <is>
          <t>A textured rolling ball with satisfying clicks.</t>
        </is>
      </c>
      <c r="H20" s="5" t="n">
        <v>30</v>
      </c>
      <c r="I20" s="8">
        <f>H20*0.02</f>
        <v/>
      </c>
      <c r="J20" s="9">
        <f>IF(I20&gt;0,E20/I20,"-")</f>
        <v/>
      </c>
      <c r="K20" s="5" t="n">
        <v>920359</v>
      </c>
      <c r="L20" s="10" t="inlineStr">
        <is>
          <t>https://www.printables.com/model/920359</t>
        </is>
      </c>
      <c r="M20" s="10" t="inlineStr">
        <is>
          <t>https://www.printables.com/model/920359/files</t>
        </is>
      </c>
    </row>
    <row r="21">
      <c r="A21" s="11" t="n">
        <v>18</v>
      </c>
      <c r="B21" s="11" t="inlineStr">
        <is>
          <t>Action Figure</t>
        </is>
      </c>
      <c r="C21" s="12" t="inlineStr">
        <is>
          <t>🦸</t>
        </is>
      </c>
      <c r="D21" s="12" t="inlineStr">
        <is>
          <t>action-figure.jpg</t>
        </is>
      </c>
      <c r="E21" s="13" t="n">
        <v>6</v>
      </c>
      <c r="F21" s="12" t="inlineStr">
        <is>
          <t>—</t>
        </is>
      </c>
      <c r="G21" s="14" t="inlineStr">
        <is>
          <t>A poseable figure with joints you can move around!</t>
        </is>
      </c>
      <c r="H21" s="12" t="n">
        <v>50</v>
      </c>
      <c r="I21" s="15">
        <f>H21*0.02</f>
        <v/>
      </c>
      <c r="J21" s="16">
        <f>IF(I21&gt;0,E21/I21,"-")</f>
        <v/>
      </c>
      <c r="K21" s="12" t="n">
        <v>484193</v>
      </c>
      <c r="L21" s="17" t="inlineStr">
        <is>
          <t>https://www.printables.com/model/484193</t>
        </is>
      </c>
      <c r="M21" s="17" t="inlineStr">
        <is>
          <t>https://www.printables.com/model/484193/files</t>
        </is>
      </c>
    </row>
    <row r="22">
      <c r="A22" s="4" t="n">
        <v>19</v>
      </c>
      <c r="B22" s="4" t="inlineStr">
        <is>
          <t>Spinning Top</t>
        </is>
      </c>
      <c r="C22" s="5" t="inlineStr">
        <is>
          <t>🪀</t>
        </is>
      </c>
      <c r="D22" s="5" t="inlineStr">
        <is>
          <t>spinning-top.jpg</t>
        </is>
      </c>
      <c r="E22" s="6" t="n">
        <v>5</v>
      </c>
      <c r="F22" s="5" t="inlineStr">
        <is>
          <t>—</t>
        </is>
      </c>
      <c r="G22" s="7" t="inlineStr">
        <is>
          <t>A perfectly balanced top that spins and spins!</t>
        </is>
      </c>
      <c r="H22" s="5" t="n">
        <v>12</v>
      </c>
      <c r="I22" s="8">
        <f>H22*0.02</f>
        <v/>
      </c>
      <c r="J22" s="9">
        <f>IF(I22&gt;0,E22/I22,"-")</f>
        <v/>
      </c>
      <c r="K22" s="5" t="n">
        <v>282970</v>
      </c>
      <c r="L22" s="10" t="inlineStr">
        <is>
          <t>https://www.printables.com/model/282970</t>
        </is>
      </c>
      <c r="M22" s="10" t="inlineStr">
        <is>
          <t>https://www.printables.com/model/282970/files</t>
        </is>
      </c>
    </row>
    <row r="23">
      <c r="A23" s="11" t="n">
        <v>20</v>
      </c>
      <c r="B23" s="11" t="inlineStr">
        <is>
          <t>Puzzle Ball</t>
        </is>
      </c>
      <c r="C23" s="12" t="inlineStr">
        <is>
          <t>🧩</t>
        </is>
      </c>
      <c r="D23" s="12" t="inlineStr">
        <is>
          <t>puzzle-ball.jpg</t>
        </is>
      </c>
      <c r="E23" s="13" t="n">
        <v>6</v>
      </c>
      <c r="F23" s="12" t="inlineStr">
        <is>
          <t>—</t>
        </is>
      </c>
      <c r="G23" s="14" t="inlineStr">
        <is>
          <t>Can you take it apart and put it back together?</t>
        </is>
      </c>
      <c r="H23" s="12" t="n">
        <v>45</v>
      </c>
      <c r="I23" s="15">
        <f>H23*0.02</f>
        <v/>
      </c>
      <c r="J23" s="16">
        <f>IF(I23&gt;0,E23/I23,"-")</f>
        <v/>
      </c>
      <c r="K23" s="12" t="n">
        <v>986151</v>
      </c>
      <c r="L23" s="17" t="inlineStr">
        <is>
          <t>https://www.printables.com/model/986151</t>
        </is>
      </c>
      <c r="M23" s="17" t="inlineStr">
        <is>
          <t>https://www.printables.com/model/986151/files</t>
        </is>
      </c>
    </row>
    <row r="24">
      <c r="A24" s="18" t="inlineStr">
        <is>
          <t>TOTALS / AVERAGES</t>
        </is>
      </c>
      <c r="B24" s="18" t="n"/>
      <c r="C24" s="18" t="n"/>
      <c r="D24" s="18" t="n"/>
      <c r="E24" s="19">
        <f>AVERAGE(E4:E23)</f>
        <v/>
      </c>
      <c r="F24" s="18" t="n"/>
      <c r="G24" s="18" t="n"/>
      <c r="H24" s="18">
        <f>SUM(H4:H23)</f>
        <v/>
      </c>
      <c r="I24" s="19">
        <f>SUM(I4:I23)</f>
        <v/>
      </c>
      <c r="J24" s="20">
        <f>AVERAGE(J4:J23)</f>
        <v/>
      </c>
      <c r="K24" s="18">
        <f>20 products</f>
        <v/>
      </c>
      <c r="L24" s="18" t="n"/>
      <c r="M24" s="18" t="n"/>
    </row>
  </sheetData>
  <mergeCells count="3">
    <mergeCell ref="A2:M2"/>
    <mergeCell ref="A24:D24"/>
    <mergeCell ref="A1:M1"/>
  </mergeCells>
  <hyperlinks>
    <hyperlink xmlns:r="http://schemas.openxmlformats.org/officeDocument/2006/relationships" ref="L4" r:id="rId1"/>
    <hyperlink xmlns:r="http://schemas.openxmlformats.org/officeDocument/2006/relationships" ref="M4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L15" r:id="rId23"/>
    <hyperlink xmlns:r="http://schemas.openxmlformats.org/officeDocument/2006/relationships" ref="M15" r:id="rId24"/>
    <hyperlink xmlns:r="http://schemas.openxmlformats.org/officeDocument/2006/relationships" ref="L16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L19" r:id="rId31"/>
    <hyperlink xmlns:r="http://schemas.openxmlformats.org/officeDocument/2006/relationships" ref="M19" r:id="rId32"/>
    <hyperlink xmlns:r="http://schemas.openxmlformats.org/officeDocument/2006/relationships" ref="L20" r:id="rId33"/>
    <hyperlink xmlns:r="http://schemas.openxmlformats.org/officeDocument/2006/relationships" ref="M20" r:id="rId34"/>
    <hyperlink xmlns:r="http://schemas.openxmlformats.org/officeDocument/2006/relationships" ref="L21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L23" r:id="rId39"/>
    <hyperlink xmlns:r="http://schemas.openxmlformats.org/officeDocument/2006/relationships" ref="M23" r:id="rId4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2026-02-08T20:43:58Z</dcterms:created>
  <dcterms:modified xsi:type="dcterms:W3CDTF">2026-02-08T20:43:58Z</dcterms:modified>
</cp:coreProperties>
</file>
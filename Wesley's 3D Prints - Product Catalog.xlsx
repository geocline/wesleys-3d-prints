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geo/Claude Projects/wesleys-3d-prints/"/>
    </mc:Choice>
  </mc:AlternateContent>
  <xr:revisionPtr revIDLastSave="0" documentId="8_{6743F184-3067-FD44-8173-817FCDB9B558}" xr6:coauthVersionLast="47" xr6:coauthVersionMax="47" xr10:uidLastSave="{00000000-0000-0000-0000-000000000000}"/>
  <bookViews>
    <workbookView xWindow="0" yWindow="620" windowWidth="30240" windowHeight="19640" xr2:uid="{00000000-000D-0000-FFFF-FFFF00000000}"/>
  </bookViews>
  <sheets>
    <sheet name="Product Catalog" sheetId="1" r:id="rId1"/>
  </sheets>
  <definedNames>
    <definedName name="_xlnm.Print_Area" localSheetId="0">'Product Catalog'!$A$1:$M$24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E24" i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J17" i="1"/>
  <c r="I17" i="1"/>
  <c r="I16" i="1"/>
  <c r="J16" i="1" s="1"/>
  <c r="I15" i="1"/>
  <c r="J15" i="1" s="1"/>
  <c r="J14" i="1"/>
  <c r="I14" i="1"/>
  <c r="I13" i="1"/>
  <c r="J13" i="1" s="1"/>
  <c r="J12" i="1"/>
  <c r="I12" i="1"/>
  <c r="J11" i="1"/>
  <c r="I11" i="1"/>
  <c r="I10" i="1"/>
  <c r="J10" i="1" s="1"/>
  <c r="J9" i="1"/>
  <c r="I9" i="1"/>
  <c r="I8" i="1"/>
  <c r="J8" i="1" s="1"/>
  <c r="J7" i="1"/>
  <c r="I7" i="1"/>
  <c r="J6" i="1"/>
  <c r="I6" i="1"/>
  <c r="I5" i="1"/>
  <c r="J5" i="1" s="1"/>
  <c r="J4" i="1"/>
  <c r="I4" i="1"/>
  <c r="I24" i="1" s="1"/>
  <c r="J24" i="1" l="1"/>
</calcChain>
</file>

<file path=xl/sharedStrings.xml><?xml version="1.0" encoding="utf-8"?>
<sst xmlns="http://schemas.openxmlformats.org/spreadsheetml/2006/main" count="156" uniqueCount="140">
  <si>
    <t>🖨️ Wesley's 3D Prints — Product Catalog</t>
  </si>
  <si>
    <t>Filament cost: $0.02/gram  |  All prices include 3x+ markup over material cost</t>
  </si>
  <si>
    <t>#</t>
  </si>
  <si>
    <t>Product Name</t>
  </si>
  <si>
    <t>Emoji</t>
  </si>
  <si>
    <t>Image File</t>
  </si>
  <si>
    <t>Price</t>
  </si>
  <si>
    <t>Min Order</t>
  </si>
  <si>
    <t>Description</t>
  </si>
  <si>
    <t>Est. Filament (g)</t>
  </si>
  <si>
    <t>Filament Cost ($)</t>
  </si>
  <si>
    <t>Markup (x)</t>
  </si>
  <si>
    <t>Printables Model ID</t>
  </si>
  <si>
    <t>Printables Model Page</t>
  </si>
  <si>
    <t>STL Download Page</t>
  </si>
  <si>
    <t>Fidget Spinner</t>
  </si>
  <si>
    <t>🪀</t>
  </si>
  <si>
    <t>fidget-spinner.jpg</t>
  </si>
  <si>
    <t>Min 2 ($5.00)</t>
  </si>
  <si>
    <t>Classic spinning fidget toy - keeps your hands busy!</t>
  </si>
  <si>
    <t>https://www.printables.com/model/157347</t>
  </si>
  <si>
    <t>https://www.printables.com/model/157347/files</t>
  </si>
  <si>
    <t>Infinity Cube</t>
  </si>
  <si>
    <t>🔲</t>
  </si>
  <si>
    <t>infinity-cube.jpg</t>
  </si>
  <si>
    <t>—</t>
  </si>
  <si>
    <t>A cube that folds and flips forever. So satisfying!</t>
  </si>
  <si>
    <t>https://www.printables.com/model/652108</t>
  </si>
  <si>
    <t>https://www.printables.com/model/652108/files</t>
  </si>
  <si>
    <t>Articulated Dragon</t>
  </si>
  <si>
    <t>🐉</t>
  </si>
  <si>
    <t>dragon.jpg</t>
  </si>
  <si>
    <t>A poseable dragon with moving joints. Super cool!</t>
  </si>
  <si>
    <t>https://www.printables.com/model/757123</t>
  </si>
  <si>
    <t>https://www.printables.com/model/757123/files</t>
  </si>
  <si>
    <t>Phone Stand</t>
  </si>
  <si>
    <t>📱</t>
  </si>
  <si>
    <t>phone-stand.jpg</t>
  </si>
  <si>
    <t>Hold your phone hands-free for videos and games.</t>
  </si>
  <si>
    <t>https://www.printables.com/model/187125</t>
  </si>
  <si>
    <t>https://www.printables.com/model/187125/files</t>
  </si>
  <si>
    <t>Pencil Holder</t>
  </si>
  <si>
    <t>✏️</t>
  </si>
  <si>
    <t>pencil-holder.jpg</t>
  </si>
  <si>
    <t>Keep your desk organized with this cool holder.</t>
  </si>
  <si>
    <t>https://www.printables.com/model/202588</t>
  </si>
  <si>
    <t>https://www.printables.com/model/202588/files</t>
  </si>
  <si>
    <t>Bookmarks (Set of 3)</t>
  </si>
  <si>
    <t>📖</t>
  </si>
  <si>
    <t>bookmark.jpg</t>
  </si>
  <si>
    <t>Sold as set of 3</t>
  </si>
  <si>
    <t>Never lose your page again with fun shaped bookmarks!</t>
  </si>
  <si>
    <t>https://www.printables.com/model/344878</t>
  </si>
  <si>
    <t>https://www.printables.com/model/344878/files</t>
  </si>
  <si>
    <t>Bag Clips (5-Pack)</t>
  </si>
  <si>
    <t>📎</t>
  </si>
  <si>
    <t>bag-clips.jpg</t>
  </si>
  <si>
    <t>Sold as 5-pack</t>
  </si>
  <si>
    <t>Keep your snacks fresh with these handy clips.</t>
  </si>
  <si>
    <t>https://www.printables.com/model/83628</t>
  </si>
  <si>
    <t>https://www.printables.com/model/83628/files</t>
  </si>
  <si>
    <t>Miniature Animal</t>
  </si>
  <si>
    <t>🐾</t>
  </si>
  <si>
    <t>mini-animal.jpg</t>
  </si>
  <si>
    <t>Tiny collectible animals - cats, dinos, and more!</t>
  </si>
  <si>
    <t>https://www.printables.com/model/972232</t>
  </si>
  <si>
    <t>https://www.printables.com/model/972232/files</t>
  </si>
  <si>
    <t>Fidget Slug</t>
  </si>
  <si>
    <t>🐌</t>
  </si>
  <si>
    <t>fidget-slug.jpg</t>
  </si>
  <si>
    <t>A wiggly slug that clicks and bends. So fun to play with!</t>
  </si>
  <si>
    <t>https://www.printables.com/model/229666</t>
  </si>
  <si>
    <t>https://www.printables.com/model/229666/files</t>
  </si>
  <si>
    <t>Keychain</t>
  </si>
  <si>
    <t>🔑</t>
  </si>
  <si>
    <t>keychain.jpg</t>
  </si>
  <si>
    <t>Cool keychains in fun shapes to clip on your backpack.</t>
  </si>
  <si>
    <t>https://www.printables.com/model/1162168</t>
  </si>
  <si>
    <t>https://www.printables.com/model/1162168/files</t>
  </si>
  <si>
    <t>Flexi Octopus</t>
  </si>
  <si>
    <t>🐙</t>
  </si>
  <si>
    <t>flexi-octopus.jpg</t>
  </si>
  <si>
    <t>A bendy octopus with wiggly tentacles!</t>
  </si>
  <si>
    <t>https://www.printables.com/model/178035</t>
  </si>
  <si>
    <t>https://www.printables.com/model/178035/files</t>
  </si>
  <si>
    <t>Tic-Tac-Toe Game</t>
  </si>
  <si>
    <t>❎</t>
  </si>
  <si>
    <t>tic-tac-toe.jpg</t>
  </si>
  <si>
    <t>A complete game that prints in one piece. Play anywhere!</t>
  </si>
  <si>
    <t>https://www.printables.com/model/413220</t>
  </si>
  <si>
    <t>https://www.printables.com/model/413220/files</t>
  </si>
  <si>
    <t>Mini Monster Truck</t>
  </si>
  <si>
    <t>🚗</t>
  </si>
  <si>
    <t>monster-truck.jpg</t>
  </si>
  <si>
    <t>A mini truck with working wheels and suspension!</t>
  </si>
  <si>
    <t>https://www.printables.com/model/51083</t>
  </si>
  <si>
    <t>https://www.printables.com/model/51083/files</t>
  </si>
  <si>
    <t>Walking Crab</t>
  </si>
  <si>
    <t>🦀</t>
  </si>
  <si>
    <t>walking-crab.jpg</t>
  </si>
  <si>
    <t>Turn the crank and watch it waddle! Mechanical magic.</t>
  </si>
  <si>
    <t>https://www.printables.com/model/294220</t>
  </si>
  <si>
    <t>https://www.printables.com/model/294220/files</t>
  </si>
  <si>
    <t>Catapult Launcher</t>
  </si>
  <si>
    <t>🏰</t>
  </si>
  <si>
    <t>catapult.jpg</t>
  </si>
  <si>
    <t>A mini catapult that actually launches stuff!</t>
  </si>
  <si>
    <t>https://www.printables.com/model/977936</t>
  </si>
  <si>
    <t>https://www.printables.com/model/977936/files</t>
  </si>
  <si>
    <t>Cookie Cutters (3-Pack)</t>
  </si>
  <si>
    <t>🍪</t>
  </si>
  <si>
    <t>cookie-cutters.jpg</t>
  </si>
  <si>
    <t>Sold as 3-pack</t>
  </si>
  <si>
    <t>Fun shaped cookie cutters - dinos, stars, and more!</t>
  </si>
  <si>
    <t>https://www.printables.com/model/436994</t>
  </si>
  <si>
    <t>https://www.printables.com/model/436994/files</t>
  </si>
  <si>
    <t>Fidget Ball</t>
  </si>
  <si>
    <t>⚽</t>
  </si>
  <si>
    <t>fidget-ball.jpg</t>
  </si>
  <si>
    <t>A textured rolling ball with satisfying clicks.</t>
  </si>
  <si>
    <t>https://www.printables.com/model/920359</t>
  </si>
  <si>
    <t>https://www.printables.com/model/920359/files</t>
  </si>
  <si>
    <t>Action Figure</t>
  </si>
  <si>
    <t>🦸</t>
  </si>
  <si>
    <t>action-figure.jpg</t>
  </si>
  <si>
    <t>A poseable figure with joints you can move around!</t>
  </si>
  <si>
    <t>https://www.printables.com/model/484193</t>
  </si>
  <si>
    <t>https://www.printables.com/model/484193/files</t>
  </si>
  <si>
    <t>Spinning Top</t>
  </si>
  <si>
    <t>spinning-top.jpg</t>
  </si>
  <si>
    <t>A perfectly balanced top that spins and spins!</t>
  </si>
  <si>
    <t>https://www.printables.com/model/282970</t>
  </si>
  <si>
    <t>https://www.printables.com/model/282970/files</t>
  </si>
  <si>
    <t>Puzzle Ball</t>
  </si>
  <si>
    <t>🧩</t>
  </si>
  <si>
    <t>puzzle-ball.jpg</t>
  </si>
  <si>
    <t>Can you take it apart and put it back together?</t>
  </si>
  <si>
    <t>https://www.printables.com/model/986151</t>
  </si>
  <si>
    <t>https://www.printables.com/model/986151/files</t>
  </si>
  <si>
    <t>TOTALS /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</si>
</sst>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&quot;x&quot;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10"/>
      <color rgb="FF4A3F8A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F5576C"/>
      <name val="Calibri"/>
      <family val="2"/>
    </font>
    <font>
      <u/>
      <sz val="10"/>
      <color rgb="FF0563C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A3F8A"/>
      </patternFill>
    </fill>
    <fill>
      <patternFill patternType="solid">
        <fgColor rgb="FFF5F0FF"/>
      </patternFill>
    </fill>
    <fill>
      <patternFill patternType="solid">
        <fgColor rgb="FFFFFFFF"/>
      </patternFill>
    </fill>
    <fill>
      <patternFill patternType="solid">
        <fgColor rgb="FFE8E0F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64" fontId="6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vertical="center"/>
    </xf>
    <xf numFmtId="165" fontId="5" fillId="3" borderId="1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64" fontId="6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164" fontId="5" fillId="4" borderId="1" xfId="0" applyNumberFormat="1" applyFont="1" applyFill="1" applyBorder="1" applyAlignment="1">
      <alignment vertical="center"/>
    </xf>
    <xf numFmtId="165" fontId="5" fillId="4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4" fillId="5" borderId="1" xfId="0" applyFont="1" applyFill="1" applyBorder="1"/>
    <xf numFmtId="164" fontId="4" fillId="5" borderId="1" xfId="0" applyNumberFormat="1" applyFont="1" applyFill="1" applyBorder="1"/>
    <xf numFmtId="165" fontId="4" fillId="5" borderId="1" xfId="0" applyNumberFormat="1" applyFont="1" applyFill="1" applyBorder="1"/>
    <xf numFmtId="0" fontId="2" fillId="0" borderId="0" xfId="0" applyFont="1" applyAlignment="1">
      <alignment horizontal="center"/>
    </xf>
    <xf numFmtId="0" fontId="0" fillId="0" borderId="0" xfId="0"/>
    <xf numFmtId="0" fontId="4" fillId="5" borderId="1" xfId="0" applyFont="1" applyFill="1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rintables.com/model/83628" TargetMode="External"/><Relationship Id="rId18" Type="http://schemas.openxmlformats.org/officeDocument/2006/relationships/hyperlink" Target="https://www.printables.com/model/229666/files" TargetMode="External"/><Relationship Id="rId26" Type="http://schemas.openxmlformats.org/officeDocument/2006/relationships/hyperlink" Target="https://www.printables.com/model/51083/files" TargetMode="External"/><Relationship Id="rId39" Type="http://schemas.openxmlformats.org/officeDocument/2006/relationships/hyperlink" Target="https://www.printables.com/model/986151" TargetMode="External"/><Relationship Id="rId21" Type="http://schemas.openxmlformats.org/officeDocument/2006/relationships/hyperlink" Target="https://www.printables.com/model/178035" TargetMode="External"/><Relationship Id="rId34" Type="http://schemas.openxmlformats.org/officeDocument/2006/relationships/hyperlink" Target="https://www.printables.com/model/920359/files" TargetMode="External"/><Relationship Id="rId7" Type="http://schemas.openxmlformats.org/officeDocument/2006/relationships/hyperlink" Target="https://www.printables.com/model/187125" TargetMode="External"/><Relationship Id="rId12" Type="http://schemas.openxmlformats.org/officeDocument/2006/relationships/hyperlink" Target="https://www.printables.com/model/344878/files" TargetMode="External"/><Relationship Id="rId17" Type="http://schemas.openxmlformats.org/officeDocument/2006/relationships/hyperlink" Target="https://www.printables.com/model/229666" TargetMode="External"/><Relationship Id="rId25" Type="http://schemas.openxmlformats.org/officeDocument/2006/relationships/hyperlink" Target="https://www.printables.com/model/51083" TargetMode="External"/><Relationship Id="rId33" Type="http://schemas.openxmlformats.org/officeDocument/2006/relationships/hyperlink" Target="https://www.printables.com/model/920359" TargetMode="External"/><Relationship Id="rId38" Type="http://schemas.openxmlformats.org/officeDocument/2006/relationships/hyperlink" Target="https://www.printables.com/model/282970/files" TargetMode="External"/><Relationship Id="rId2" Type="http://schemas.openxmlformats.org/officeDocument/2006/relationships/hyperlink" Target="https://www.printables.com/model/157347/files" TargetMode="External"/><Relationship Id="rId16" Type="http://schemas.openxmlformats.org/officeDocument/2006/relationships/hyperlink" Target="https://www.printables.com/model/972232/files" TargetMode="External"/><Relationship Id="rId20" Type="http://schemas.openxmlformats.org/officeDocument/2006/relationships/hyperlink" Target="https://www.printables.com/model/1162168/files" TargetMode="External"/><Relationship Id="rId29" Type="http://schemas.openxmlformats.org/officeDocument/2006/relationships/hyperlink" Target="https://www.printables.com/model/977936" TargetMode="External"/><Relationship Id="rId1" Type="http://schemas.openxmlformats.org/officeDocument/2006/relationships/hyperlink" Target="https://www.printables.com/model/157347" TargetMode="External"/><Relationship Id="rId6" Type="http://schemas.openxmlformats.org/officeDocument/2006/relationships/hyperlink" Target="https://www.printables.com/model/757123/files" TargetMode="External"/><Relationship Id="rId11" Type="http://schemas.openxmlformats.org/officeDocument/2006/relationships/hyperlink" Target="https://www.printables.com/model/344878" TargetMode="External"/><Relationship Id="rId24" Type="http://schemas.openxmlformats.org/officeDocument/2006/relationships/hyperlink" Target="https://www.printables.com/model/413220/files" TargetMode="External"/><Relationship Id="rId32" Type="http://schemas.openxmlformats.org/officeDocument/2006/relationships/hyperlink" Target="https://www.printables.com/model/436994/files" TargetMode="External"/><Relationship Id="rId37" Type="http://schemas.openxmlformats.org/officeDocument/2006/relationships/hyperlink" Target="https://www.printables.com/model/282970" TargetMode="External"/><Relationship Id="rId40" Type="http://schemas.openxmlformats.org/officeDocument/2006/relationships/hyperlink" Target="https://www.printables.com/model/986151/files" TargetMode="External"/><Relationship Id="rId5" Type="http://schemas.openxmlformats.org/officeDocument/2006/relationships/hyperlink" Target="https://www.printables.com/model/757123" TargetMode="External"/><Relationship Id="rId15" Type="http://schemas.openxmlformats.org/officeDocument/2006/relationships/hyperlink" Target="https://www.printables.com/model/972232" TargetMode="External"/><Relationship Id="rId23" Type="http://schemas.openxmlformats.org/officeDocument/2006/relationships/hyperlink" Target="https://www.printables.com/model/413220" TargetMode="External"/><Relationship Id="rId28" Type="http://schemas.openxmlformats.org/officeDocument/2006/relationships/hyperlink" Target="https://www.printables.com/model/294220/files" TargetMode="External"/><Relationship Id="rId36" Type="http://schemas.openxmlformats.org/officeDocument/2006/relationships/hyperlink" Target="https://www.printables.com/model/484193/files" TargetMode="External"/><Relationship Id="rId10" Type="http://schemas.openxmlformats.org/officeDocument/2006/relationships/hyperlink" Target="https://www.printables.com/model/202588/files" TargetMode="External"/><Relationship Id="rId19" Type="http://schemas.openxmlformats.org/officeDocument/2006/relationships/hyperlink" Target="https://www.printables.com/model/1162168" TargetMode="External"/><Relationship Id="rId31" Type="http://schemas.openxmlformats.org/officeDocument/2006/relationships/hyperlink" Target="https://www.printables.com/model/436994" TargetMode="External"/><Relationship Id="rId4" Type="http://schemas.openxmlformats.org/officeDocument/2006/relationships/hyperlink" Target="https://www.printables.com/model/652108/files" TargetMode="External"/><Relationship Id="rId9" Type="http://schemas.openxmlformats.org/officeDocument/2006/relationships/hyperlink" Target="https://www.printables.com/model/202588" TargetMode="External"/><Relationship Id="rId14" Type="http://schemas.openxmlformats.org/officeDocument/2006/relationships/hyperlink" Target="https://www.printables.com/model/83628/files" TargetMode="External"/><Relationship Id="rId22" Type="http://schemas.openxmlformats.org/officeDocument/2006/relationships/hyperlink" Target="https://www.printables.com/model/178035/files" TargetMode="External"/><Relationship Id="rId27" Type="http://schemas.openxmlformats.org/officeDocument/2006/relationships/hyperlink" Target="https://www.printables.com/model/294220" TargetMode="External"/><Relationship Id="rId30" Type="http://schemas.openxmlformats.org/officeDocument/2006/relationships/hyperlink" Target="https://www.printables.com/model/977936/files" TargetMode="External"/><Relationship Id="rId35" Type="http://schemas.openxmlformats.org/officeDocument/2006/relationships/hyperlink" Target="https://www.printables.com/model/484193" TargetMode="External"/><Relationship Id="rId8" Type="http://schemas.openxmlformats.org/officeDocument/2006/relationships/hyperlink" Target="https://www.printables.com/model/187125/files" TargetMode="External"/><Relationship Id="rId3" Type="http://schemas.openxmlformats.org/officeDocument/2006/relationships/hyperlink" Target="https://www.printables.com/model/6521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pane ySplit="3" topLeftCell="A4" activePane="bottomLeft" state="frozen"/>
      <selection pane="bottomLeft" sqref="A1:M1"/>
    </sheetView>
  </sheetViews>
  <sheetFormatPr baseColWidth="10" defaultColWidth="8.83203125" defaultRowHeight="15" x14ac:dyDescent="0.2"/>
  <cols>
    <col min="1" max="1" width="4" customWidth="1"/>
    <col min="2" max="2" width="24" customWidth="1"/>
    <col min="3" max="3" width="6" customWidth="1"/>
    <col min="4" max="4" width="22" customWidth="1"/>
    <col min="5" max="5" width="10" customWidth="1"/>
    <col min="6" max="6" width="18" customWidth="1"/>
    <col min="7" max="7" width="45" customWidth="1"/>
    <col min="8" max="9" width="16" customWidth="1"/>
    <col min="10" max="10" width="12" customWidth="1"/>
    <col min="11" max="11" width="18" customWidth="1"/>
    <col min="12" max="12" width="42" customWidth="1"/>
    <col min="13" max="13" width="48" customWidth="1"/>
  </cols>
  <sheetData>
    <row r="1" spans="1:13" ht="40" customHeight="1" x14ac:dyDescent="0.2">
      <c r="A1" s="22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22" customHeight="1" x14ac:dyDescent="0.2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3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x14ac:dyDescent="0.2">
      <c r="A4" s="2">
        <v>1</v>
      </c>
      <c r="B4" s="2" t="s">
        <v>15</v>
      </c>
      <c r="C4" s="3" t="s">
        <v>16</v>
      </c>
      <c r="D4" s="3" t="s">
        <v>17</v>
      </c>
      <c r="E4" s="4">
        <v>2.5</v>
      </c>
      <c r="F4" s="3" t="s">
        <v>18</v>
      </c>
      <c r="G4" s="5" t="s">
        <v>19</v>
      </c>
      <c r="H4" s="3">
        <v>15</v>
      </c>
      <c r="I4" s="6">
        <f t="shared" ref="I4:I23" si="0">H4*0.02</f>
        <v>0.3</v>
      </c>
      <c r="J4" s="7">
        <f t="shared" ref="J4:J23" si="1">IF(I4&gt;0,E4/I4,"-")</f>
        <v>8.3333333333333339</v>
      </c>
      <c r="K4" s="3">
        <v>157347</v>
      </c>
      <c r="L4" s="8" t="s">
        <v>20</v>
      </c>
      <c r="M4" s="8" t="s">
        <v>21</v>
      </c>
    </row>
    <row r="5" spans="1:13" x14ac:dyDescent="0.2">
      <c r="A5" s="9">
        <v>2</v>
      </c>
      <c r="B5" s="9" t="s">
        <v>22</v>
      </c>
      <c r="C5" s="10" t="s">
        <v>23</v>
      </c>
      <c r="D5" s="10" t="s">
        <v>24</v>
      </c>
      <c r="E5" s="11">
        <v>6</v>
      </c>
      <c r="F5" s="10" t="s">
        <v>25</v>
      </c>
      <c r="G5" s="12" t="s">
        <v>26</v>
      </c>
      <c r="H5" s="10">
        <v>40</v>
      </c>
      <c r="I5" s="13">
        <f t="shared" si="0"/>
        <v>0.8</v>
      </c>
      <c r="J5" s="14">
        <f t="shared" si="1"/>
        <v>7.5</v>
      </c>
      <c r="K5" s="10">
        <v>652108</v>
      </c>
      <c r="L5" s="15" t="s">
        <v>27</v>
      </c>
      <c r="M5" s="15" t="s">
        <v>28</v>
      </c>
    </row>
    <row r="6" spans="1:13" x14ac:dyDescent="0.2">
      <c r="A6" s="2">
        <v>3</v>
      </c>
      <c r="B6" s="2" t="s">
        <v>29</v>
      </c>
      <c r="C6" s="3" t="s">
        <v>30</v>
      </c>
      <c r="D6" s="3" t="s">
        <v>31</v>
      </c>
      <c r="E6" s="4">
        <v>8</v>
      </c>
      <c r="F6" s="3" t="s">
        <v>25</v>
      </c>
      <c r="G6" s="5" t="s">
        <v>32</v>
      </c>
      <c r="H6" s="3">
        <v>60</v>
      </c>
      <c r="I6" s="6">
        <f t="shared" si="0"/>
        <v>1.2</v>
      </c>
      <c r="J6" s="7">
        <f t="shared" si="1"/>
        <v>6.666666666666667</v>
      </c>
      <c r="K6" s="3">
        <v>757123</v>
      </c>
      <c r="L6" s="8" t="s">
        <v>33</v>
      </c>
      <c r="M6" s="8" t="s">
        <v>34</v>
      </c>
    </row>
    <row r="7" spans="1:13" x14ac:dyDescent="0.2">
      <c r="A7" s="9">
        <v>4</v>
      </c>
      <c r="B7" s="9" t="s">
        <v>35</v>
      </c>
      <c r="C7" s="10" t="s">
        <v>36</v>
      </c>
      <c r="D7" s="10" t="s">
        <v>37</v>
      </c>
      <c r="E7" s="11">
        <v>5</v>
      </c>
      <c r="F7" s="10" t="s">
        <v>25</v>
      </c>
      <c r="G7" s="12" t="s">
        <v>38</v>
      </c>
      <c r="H7" s="10">
        <v>35</v>
      </c>
      <c r="I7" s="13">
        <f t="shared" si="0"/>
        <v>0.70000000000000007</v>
      </c>
      <c r="J7" s="14">
        <f t="shared" si="1"/>
        <v>7.1428571428571423</v>
      </c>
      <c r="K7" s="10">
        <v>187125</v>
      </c>
      <c r="L7" s="15" t="s">
        <v>39</v>
      </c>
      <c r="M7" s="15" t="s">
        <v>40</v>
      </c>
    </row>
    <row r="8" spans="1:13" x14ac:dyDescent="0.2">
      <c r="A8" s="2">
        <v>5</v>
      </c>
      <c r="B8" s="2" t="s">
        <v>41</v>
      </c>
      <c r="C8" s="3" t="s">
        <v>42</v>
      </c>
      <c r="D8" s="3" t="s">
        <v>43</v>
      </c>
      <c r="E8" s="4">
        <v>5</v>
      </c>
      <c r="F8" s="3" t="s">
        <v>25</v>
      </c>
      <c r="G8" s="5" t="s">
        <v>44</v>
      </c>
      <c r="H8" s="3">
        <v>45</v>
      </c>
      <c r="I8" s="6">
        <f t="shared" si="0"/>
        <v>0.9</v>
      </c>
      <c r="J8" s="7">
        <f t="shared" si="1"/>
        <v>5.5555555555555554</v>
      </c>
      <c r="K8" s="3">
        <v>202588</v>
      </c>
      <c r="L8" s="8" t="s">
        <v>45</v>
      </c>
      <c r="M8" s="8" t="s">
        <v>46</v>
      </c>
    </row>
    <row r="9" spans="1:13" x14ac:dyDescent="0.2">
      <c r="A9" s="9">
        <v>6</v>
      </c>
      <c r="B9" s="9" t="s">
        <v>47</v>
      </c>
      <c r="C9" s="10" t="s">
        <v>48</v>
      </c>
      <c r="D9" s="10" t="s">
        <v>49</v>
      </c>
      <c r="E9" s="11">
        <v>5</v>
      </c>
      <c r="F9" s="10" t="s">
        <v>50</v>
      </c>
      <c r="G9" s="12" t="s">
        <v>51</v>
      </c>
      <c r="H9" s="10">
        <v>10</v>
      </c>
      <c r="I9" s="13">
        <f t="shared" si="0"/>
        <v>0.2</v>
      </c>
      <c r="J9" s="14">
        <f t="shared" si="1"/>
        <v>25</v>
      </c>
      <c r="K9" s="10">
        <v>344878</v>
      </c>
      <c r="L9" s="15" t="s">
        <v>52</v>
      </c>
      <c r="M9" s="15" t="s">
        <v>53</v>
      </c>
    </row>
    <row r="10" spans="1:13" x14ac:dyDescent="0.2">
      <c r="A10" s="2">
        <v>7</v>
      </c>
      <c r="B10" s="2" t="s">
        <v>54</v>
      </c>
      <c r="C10" s="3" t="s">
        <v>55</v>
      </c>
      <c r="D10" s="3" t="s">
        <v>56</v>
      </c>
      <c r="E10" s="4">
        <v>5</v>
      </c>
      <c r="F10" s="3" t="s">
        <v>57</v>
      </c>
      <c r="G10" s="5" t="s">
        <v>58</v>
      </c>
      <c r="H10" s="3">
        <v>20</v>
      </c>
      <c r="I10" s="6">
        <f t="shared" si="0"/>
        <v>0.4</v>
      </c>
      <c r="J10" s="7">
        <f t="shared" si="1"/>
        <v>12.5</v>
      </c>
      <c r="K10" s="3">
        <v>83628</v>
      </c>
      <c r="L10" s="8" t="s">
        <v>59</v>
      </c>
      <c r="M10" s="8" t="s">
        <v>60</v>
      </c>
    </row>
    <row r="11" spans="1:13" x14ac:dyDescent="0.2">
      <c r="A11" s="9">
        <v>8</v>
      </c>
      <c r="B11" s="9" t="s">
        <v>61</v>
      </c>
      <c r="C11" s="10" t="s">
        <v>62</v>
      </c>
      <c r="D11" s="10" t="s">
        <v>63</v>
      </c>
      <c r="E11" s="11">
        <v>2.5</v>
      </c>
      <c r="F11" s="10" t="s">
        <v>18</v>
      </c>
      <c r="G11" s="12" t="s">
        <v>64</v>
      </c>
      <c r="H11" s="10">
        <v>10</v>
      </c>
      <c r="I11" s="13">
        <f t="shared" si="0"/>
        <v>0.2</v>
      </c>
      <c r="J11" s="14">
        <f t="shared" si="1"/>
        <v>12.5</v>
      </c>
      <c r="K11" s="10">
        <v>972232</v>
      </c>
      <c r="L11" s="15" t="s">
        <v>65</v>
      </c>
      <c r="M11" s="15" t="s">
        <v>66</v>
      </c>
    </row>
    <row r="12" spans="1:13" x14ac:dyDescent="0.2">
      <c r="A12" s="2">
        <v>9</v>
      </c>
      <c r="B12" s="2" t="s">
        <v>67</v>
      </c>
      <c r="C12" s="3" t="s">
        <v>68</v>
      </c>
      <c r="D12" s="3" t="s">
        <v>69</v>
      </c>
      <c r="E12" s="4">
        <v>5</v>
      </c>
      <c r="F12" s="3" t="s">
        <v>25</v>
      </c>
      <c r="G12" s="5" t="s">
        <v>70</v>
      </c>
      <c r="H12" s="3">
        <v>30</v>
      </c>
      <c r="I12" s="6">
        <f t="shared" si="0"/>
        <v>0.6</v>
      </c>
      <c r="J12" s="7">
        <f t="shared" si="1"/>
        <v>8.3333333333333339</v>
      </c>
      <c r="K12" s="3">
        <v>229666</v>
      </c>
      <c r="L12" s="8" t="s">
        <v>71</v>
      </c>
      <c r="M12" s="8" t="s">
        <v>72</v>
      </c>
    </row>
    <row r="13" spans="1:13" x14ac:dyDescent="0.2">
      <c r="A13" s="9">
        <v>10</v>
      </c>
      <c r="B13" s="9" t="s">
        <v>73</v>
      </c>
      <c r="C13" s="10" t="s">
        <v>74</v>
      </c>
      <c r="D13" s="10" t="s">
        <v>75</v>
      </c>
      <c r="E13" s="11">
        <v>2.5</v>
      </c>
      <c r="F13" s="10" t="s">
        <v>18</v>
      </c>
      <c r="G13" s="12" t="s">
        <v>76</v>
      </c>
      <c r="H13" s="10">
        <v>8</v>
      </c>
      <c r="I13" s="13">
        <f t="shared" si="0"/>
        <v>0.16</v>
      </c>
      <c r="J13" s="14">
        <f t="shared" si="1"/>
        <v>15.625</v>
      </c>
      <c r="K13" s="10">
        <v>1162168</v>
      </c>
      <c r="L13" s="15" t="s">
        <v>77</v>
      </c>
      <c r="M13" s="15" t="s">
        <v>78</v>
      </c>
    </row>
    <row r="14" spans="1:13" x14ac:dyDescent="0.2">
      <c r="A14" s="2">
        <v>11</v>
      </c>
      <c r="B14" s="2" t="s">
        <v>79</v>
      </c>
      <c r="C14" s="3" t="s">
        <v>80</v>
      </c>
      <c r="D14" s="3" t="s">
        <v>81</v>
      </c>
      <c r="E14" s="4">
        <v>5</v>
      </c>
      <c r="F14" s="3" t="s">
        <v>25</v>
      </c>
      <c r="G14" s="5" t="s">
        <v>82</v>
      </c>
      <c r="H14" s="3">
        <v>25</v>
      </c>
      <c r="I14" s="6">
        <f t="shared" si="0"/>
        <v>0.5</v>
      </c>
      <c r="J14" s="7">
        <f t="shared" si="1"/>
        <v>10</v>
      </c>
      <c r="K14" s="3">
        <v>178035</v>
      </c>
      <c r="L14" s="8" t="s">
        <v>83</v>
      </c>
      <c r="M14" s="8" t="s">
        <v>84</v>
      </c>
    </row>
    <row r="15" spans="1:13" x14ac:dyDescent="0.2">
      <c r="A15" s="9">
        <v>12</v>
      </c>
      <c r="B15" s="9" t="s">
        <v>85</v>
      </c>
      <c r="C15" s="10" t="s">
        <v>86</v>
      </c>
      <c r="D15" s="10" t="s">
        <v>87</v>
      </c>
      <c r="E15" s="11">
        <v>5</v>
      </c>
      <c r="F15" s="10" t="s">
        <v>25</v>
      </c>
      <c r="G15" s="12" t="s">
        <v>88</v>
      </c>
      <c r="H15" s="10">
        <v>30</v>
      </c>
      <c r="I15" s="13">
        <f t="shared" si="0"/>
        <v>0.6</v>
      </c>
      <c r="J15" s="14">
        <f t="shared" si="1"/>
        <v>8.3333333333333339</v>
      </c>
      <c r="K15" s="10">
        <v>413220</v>
      </c>
      <c r="L15" s="15" t="s">
        <v>89</v>
      </c>
      <c r="M15" s="15" t="s">
        <v>90</v>
      </c>
    </row>
    <row r="16" spans="1:13" x14ac:dyDescent="0.2">
      <c r="A16" s="2">
        <v>13</v>
      </c>
      <c r="B16" s="2" t="s">
        <v>91</v>
      </c>
      <c r="C16" s="3" t="s">
        <v>92</v>
      </c>
      <c r="D16" s="3" t="s">
        <v>93</v>
      </c>
      <c r="E16" s="4">
        <v>6</v>
      </c>
      <c r="F16" s="3" t="s">
        <v>25</v>
      </c>
      <c r="G16" s="5" t="s">
        <v>94</v>
      </c>
      <c r="H16" s="3">
        <v>40</v>
      </c>
      <c r="I16" s="6">
        <f t="shared" si="0"/>
        <v>0.8</v>
      </c>
      <c r="J16" s="7">
        <f t="shared" si="1"/>
        <v>7.5</v>
      </c>
      <c r="K16" s="3">
        <v>51083</v>
      </c>
      <c r="L16" s="8" t="s">
        <v>95</v>
      </c>
      <c r="M16" s="8" t="s">
        <v>96</v>
      </c>
    </row>
    <row r="17" spans="1:13" x14ac:dyDescent="0.2">
      <c r="A17" s="9">
        <v>14</v>
      </c>
      <c r="B17" s="9" t="s">
        <v>97</v>
      </c>
      <c r="C17" s="10" t="s">
        <v>98</v>
      </c>
      <c r="D17" s="10" t="s">
        <v>99</v>
      </c>
      <c r="E17" s="11">
        <v>6</v>
      </c>
      <c r="F17" s="10" t="s">
        <v>25</v>
      </c>
      <c r="G17" s="12" t="s">
        <v>100</v>
      </c>
      <c r="H17" s="10">
        <v>35</v>
      </c>
      <c r="I17" s="13">
        <f t="shared" si="0"/>
        <v>0.70000000000000007</v>
      </c>
      <c r="J17" s="14">
        <f t="shared" si="1"/>
        <v>8.5714285714285712</v>
      </c>
      <c r="K17" s="10">
        <v>294220</v>
      </c>
      <c r="L17" s="15" t="s">
        <v>101</v>
      </c>
      <c r="M17" s="15" t="s">
        <v>102</v>
      </c>
    </row>
    <row r="18" spans="1:13" x14ac:dyDescent="0.2">
      <c r="A18" s="2">
        <v>15</v>
      </c>
      <c r="B18" s="2" t="s">
        <v>103</v>
      </c>
      <c r="C18" s="3" t="s">
        <v>104</v>
      </c>
      <c r="D18" s="3" t="s">
        <v>105</v>
      </c>
      <c r="E18" s="4">
        <v>5</v>
      </c>
      <c r="F18" s="3" t="s">
        <v>25</v>
      </c>
      <c r="G18" s="5" t="s">
        <v>106</v>
      </c>
      <c r="H18" s="3">
        <v>25</v>
      </c>
      <c r="I18" s="6">
        <f t="shared" si="0"/>
        <v>0.5</v>
      </c>
      <c r="J18" s="7">
        <f t="shared" si="1"/>
        <v>10</v>
      </c>
      <c r="K18" s="3">
        <v>977936</v>
      </c>
      <c r="L18" s="8" t="s">
        <v>107</v>
      </c>
      <c r="M18" s="8" t="s">
        <v>108</v>
      </c>
    </row>
    <row r="19" spans="1:13" x14ac:dyDescent="0.2">
      <c r="A19" s="9">
        <v>16</v>
      </c>
      <c r="B19" s="9" t="s">
        <v>109</v>
      </c>
      <c r="C19" s="10" t="s">
        <v>110</v>
      </c>
      <c r="D19" s="10" t="s">
        <v>111</v>
      </c>
      <c r="E19" s="11">
        <v>5</v>
      </c>
      <c r="F19" s="10" t="s">
        <v>112</v>
      </c>
      <c r="G19" s="12" t="s">
        <v>113</v>
      </c>
      <c r="H19" s="10">
        <v>15</v>
      </c>
      <c r="I19" s="13">
        <f t="shared" si="0"/>
        <v>0.3</v>
      </c>
      <c r="J19" s="14">
        <f t="shared" si="1"/>
        <v>16.666666666666668</v>
      </c>
      <c r="K19" s="10">
        <v>436994</v>
      </c>
      <c r="L19" s="15" t="s">
        <v>114</v>
      </c>
      <c r="M19" s="15" t="s">
        <v>115</v>
      </c>
    </row>
    <row r="20" spans="1:13" x14ac:dyDescent="0.2">
      <c r="A20" s="2">
        <v>17</v>
      </c>
      <c r="B20" s="2" t="s">
        <v>116</v>
      </c>
      <c r="C20" s="3" t="s">
        <v>117</v>
      </c>
      <c r="D20" s="3" t="s">
        <v>118</v>
      </c>
      <c r="E20" s="4">
        <v>5</v>
      </c>
      <c r="F20" s="3" t="s">
        <v>25</v>
      </c>
      <c r="G20" s="5" t="s">
        <v>119</v>
      </c>
      <c r="H20" s="3">
        <v>30</v>
      </c>
      <c r="I20" s="6">
        <f t="shared" si="0"/>
        <v>0.6</v>
      </c>
      <c r="J20" s="7">
        <f t="shared" si="1"/>
        <v>8.3333333333333339</v>
      </c>
      <c r="K20" s="3">
        <v>920359</v>
      </c>
      <c r="L20" s="8" t="s">
        <v>120</v>
      </c>
      <c r="M20" s="8" t="s">
        <v>121</v>
      </c>
    </row>
    <row r="21" spans="1:13" x14ac:dyDescent="0.2">
      <c r="A21" s="9">
        <v>18</v>
      </c>
      <c r="B21" s="9" t="s">
        <v>122</v>
      </c>
      <c r="C21" s="10" t="s">
        <v>123</v>
      </c>
      <c r="D21" s="10" t="s">
        <v>124</v>
      </c>
      <c r="E21" s="11">
        <v>6</v>
      </c>
      <c r="F21" s="10" t="s">
        <v>25</v>
      </c>
      <c r="G21" s="12" t="s">
        <v>125</v>
      </c>
      <c r="H21" s="10">
        <v>50</v>
      </c>
      <c r="I21" s="13">
        <f t="shared" si="0"/>
        <v>1</v>
      </c>
      <c r="J21" s="14">
        <f t="shared" si="1"/>
        <v>6</v>
      </c>
      <c r="K21" s="10">
        <v>484193</v>
      </c>
      <c r="L21" s="15" t="s">
        <v>126</v>
      </c>
      <c r="M21" s="15" t="s">
        <v>127</v>
      </c>
    </row>
    <row r="22" spans="1:13" x14ac:dyDescent="0.2">
      <c r="A22" s="2">
        <v>19</v>
      </c>
      <c r="B22" s="2" t="s">
        <v>128</v>
      </c>
      <c r="C22" s="3" t="s">
        <v>16</v>
      </c>
      <c r="D22" s="3" t="s">
        <v>129</v>
      </c>
      <c r="E22" s="4">
        <v>5</v>
      </c>
      <c r="F22" s="3" t="s">
        <v>25</v>
      </c>
      <c r="G22" s="5" t="s">
        <v>130</v>
      </c>
      <c r="H22" s="3">
        <v>12</v>
      </c>
      <c r="I22" s="6">
        <f t="shared" si="0"/>
        <v>0.24</v>
      </c>
      <c r="J22" s="7">
        <f t="shared" si="1"/>
        <v>20.833333333333336</v>
      </c>
      <c r="K22" s="3">
        <v>282970</v>
      </c>
      <c r="L22" s="8" t="s">
        <v>131</v>
      </c>
      <c r="M22" s="8" t="s">
        <v>132</v>
      </c>
    </row>
    <row r="23" spans="1:13" x14ac:dyDescent="0.2">
      <c r="A23" s="9">
        <v>20</v>
      </c>
      <c r="B23" s="9" t="s">
        <v>133</v>
      </c>
      <c r="C23" s="10" t="s">
        <v>134</v>
      </c>
      <c r="D23" s="10" t="s">
        <v>135</v>
      </c>
      <c r="E23" s="11">
        <v>6</v>
      </c>
      <c r="F23" s="10" t="s">
        <v>25</v>
      </c>
      <c r="G23" s="12" t="s">
        <v>136</v>
      </c>
      <c r="H23" s="10">
        <v>45</v>
      </c>
      <c r="I23" s="13">
        <f t="shared" si="0"/>
        <v>0.9</v>
      </c>
      <c r="J23" s="14">
        <f t="shared" si="1"/>
        <v>6.6666666666666661</v>
      </c>
      <c r="K23" s="10">
        <v>986151</v>
      </c>
      <c r="L23" s="15" t="s">
        <v>137</v>
      </c>
      <c r="M23" s="15" t="s">
        <v>138</v>
      </c>
    </row>
    <row r="24" spans="1:13" x14ac:dyDescent="0.2">
      <c r="A24" s="21" t="s">
        <v>139</v>
      </c>
      <c r="B24" s="21"/>
      <c r="C24" s="21"/>
      <c r="D24" s="21"/>
      <c r="E24" s="17">
        <f>AVERAGE(E4:E23)</f>
        <v>5.0250000000000004</v>
      </c>
      <c r="F24" s="16"/>
      <c r="G24" s="16"/>
      <c r="H24" s="16">
        <f>SUM(H4:H23)</f>
        <v>580</v>
      </c>
      <c r="I24" s="17">
        <f>SUM(I4:I23)</f>
        <v>11.6</v>
      </c>
      <c r="J24" s="18">
        <f>AVERAGE(J4:J23)</f>
        <v>10.603075396825396</v>
      </c>
      <c r="K24" s="16"/>
      <c r="L24" s="16"/>
      <c r="M24" s="16"/>
    </row>
  </sheetData>
  <mergeCells count="3">
    <mergeCell ref="A2:M2"/>
    <mergeCell ref="A24:D24"/>
    <mergeCell ref="A1:M1"/>
  </mergeCells>
  <hyperlinks>
    <hyperlink ref="L4" r:id="rId1" xr:uid="{00000000-0004-0000-0000-000000000000}"/>
    <hyperlink ref="M4" r:id="rId2" xr:uid="{00000000-0004-0000-0000-000001000000}"/>
    <hyperlink ref="L5" r:id="rId3" xr:uid="{00000000-0004-0000-0000-000002000000}"/>
    <hyperlink ref="M5" r:id="rId4" xr:uid="{00000000-0004-0000-0000-000003000000}"/>
    <hyperlink ref="L6" r:id="rId5" xr:uid="{00000000-0004-0000-0000-000004000000}"/>
    <hyperlink ref="M6" r:id="rId6" xr:uid="{00000000-0004-0000-0000-000005000000}"/>
    <hyperlink ref="L7" r:id="rId7" xr:uid="{00000000-0004-0000-0000-000006000000}"/>
    <hyperlink ref="M7" r:id="rId8" xr:uid="{00000000-0004-0000-0000-000007000000}"/>
    <hyperlink ref="L8" r:id="rId9" xr:uid="{00000000-0004-0000-0000-000008000000}"/>
    <hyperlink ref="M8" r:id="rId10" xr:uid="{00000000-0004-0000-0000-000009000000}"/>
    <hyperlink ref="L9" r:id="rId11" xr:uid="{00000000-0004-0000-0000-00000A000000}"/>
    <hyperlink ref="M9" r:id="rId12" xr:uid="{00000000-0004-0000-0000-00000B000000}"/>
    <hyperlink ref="L10" r:id="rId13" xr:uid="{00000000-0004-0000-0000-00000C000000}"/>
    <hyperlink ref="M10" r:id="rId14" xr:uid="{00000000-0004-0000-0000-00000D000000}"/>
    <hyperlink ref="L11" r:id="rId15" xr:uid="{00000000-0004-0000-0000-00000E000000}"/>
    <hyperlink ref="M11" r:id="rId16" xr:uid="{00000000-0004-0000-0000-00000F000000}"/>
    <hyperlink ref="L12" r:id="rId17" xr:uid="{00000000-0004-0000-0000-000010000000}"/>
    <hyperlink ref="M12" r:id="rId18" xr:uid="{00000000-0004-0000-0000-000011000000}"/>
    <hyperlink ref="L13" r:id="rId19" xr:uid="{00000000-0004-0000-0000-000012000000}"/>
    <hyperlink ref="M13" r:id="rId20" xr:uid="{00000000-0004-0000-0000-000013000000}"/>
    <hyperlink ref="L14" r:id="rId21" xr:uid="{00000000-0004-0000-0000-000014000000}"/>
    <hyperlink ref="M14" r:id="rId22" xr:uid="{00000000-0004-0000-0000-000015000000}"/>
    <hyperlink ref="L15" r:id="rId23" xr:uid="{00000000-0004-0000-0000-000016000000}"/>
    <hyperlink ref="M15" r:id="rId24" xr:uid="{00000000-0004-0000-0000-000017000000}"/>
    <hyperlink ref="L16" r:id="rId25" xr:uid="{00000000-0004-0000-0000-000018000000}"/>
    <hyperlink ref="M16" r:id="rId26" xr:uid="{00000000-0004-0000-0000-000019000000}"/>
    <hyperlink ref="L17" r:id="rId27" xr:uid="{00000000-0004-0000-0000-00001A000000}"/>
    <hyperlink ref="M17" r:id="rId28" xr:uid="{00000000-0004-0000-0000-00001B000000}"/>
    <hyperlink ref="L18" r:id="rId29" xr:uid="{00000000-0004-0000-0000-00001C000000}"/>
    <hyperlink ref="M18" r:id="rId30" xr:uid="{00000000-0004-0000-0000-00001D000000}"/>
    <hyperlink ref="L19" r:id="rId31" xr:uid="{00000000-0004-0000-0000-00001E000000}"/>
    <hyperlink ref="M19" r:id="rId32" xr:uid="{00000000-0004-0000-0000-00001F000000}"/>
    <hyperlink ref="L20" r:id="rId33" xr:uid="{00000000-0004-0000-0000-000020000000}"/>
    <hyperlink ref="M20" r:id="rId34" xr:uid="{00000000-0004-0000-0000-000021000000}"/>
    <hyperlink ref="L21" r:id="rId35" xr:uid="{00000000-0004-0000-0000-000022000000}"/>
    <hyperlink ref="M21" r:id="rId36" xr:uid="{00000000-0004-0000-0000-000023000000}"/>
    <hyperlink ref="L22" r:id="rId37" xr:uid="{00000000-0004-0000-0000-000024000000}"/>
    <hyperlink ref="M22" r:id="rId38" xr:uid="{00000000-0004-0000-0000-000025000000}"/>
    <hyperlink ref="L23" r:id="rId39" xr:uid="{00000000-0004-0000-0000-000026000000}"/>
    <hyperlink ref="M23" r:id="rId40" xr:uid="{00000000-0004-0000-0000-00002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 Catalog</vt:lpstr>
      <vt:lpstr>'Product Catalog'!Print_Area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Cline</cp:lastModifiedBy>
  <dcterms:created xsi:type="dcterms:W3CDTF">2026-02-08T20:43:58Z</dcterms:created>
  <dcterms:modified xsi:type="dcterms:W3CDTF">2026-02-12T04:25:19Z</dcterms:modified>
</cp:coreProperties>
</file>